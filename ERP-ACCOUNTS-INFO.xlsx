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66EEDB-F948-42A2-AEB6-65E9397806D4}" xr6:coauthVersionLast="47" xr6:coauthVersionMax="47" xr10:uidLastSave="{00000000-0000-0000-0000-000000000000}"/>
  <bookViews>
    <workbookView xWindow="-110" yWindow="-110" windowWidth="19420" windowHeight="11020" xr2:uid="{87DBDE46-41B1-4842-A644-27EEEC8B6D25}"/>
  </bookViews>
  <sheets>
    <sheet name="Sheet1" sheetId="1" r:id="rId1"/>
  </sheets>
  <definedNames>
    <definedName name="DEPARTMENTS" comment="Departments should explain where cost happens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</calcChain>
</file>

<file path=xl/sharedStrings.xml><?xml version="1.0" encoding="utf-8"?>
<sst xmlns="http://schemas.openxmlformats.org/spreadsheetml/2006/main" count="577" uniqueCount="231">
  <si>
    <t>Asset</t>
  </si>
  <si>
    <t>Liability</t>
  </si>
  <si>
    <t>Equity</t>
  </si>
  <si>
    <t>Revenue</t>
  </si>
  <si>
    <t>Expense</t>
  </si>
  <si>
    <t>No</t>
  </si>
  <si>
    <t>Yes</t>
  </si>
  <si>
    <t>Utilities</t>
  </si>
  <si>
    <t>Cash &amp; Cash Equivalents</t>
  </si>
  <si>
    <t>Bank &amp; Wallets</t>
  </si>
  <si>
    <t>Accounts Receivable (Customers)</t>
  </si>
  <si>
    <t>Accounts Payable (Suppliers)</t>
  </si>
  <si>
    <t>Accrued / Outstanding Expenses</t>
  </si>
  <si>
    <t>Retained Earnings / Current Year Profit</t>
  </si>
  <si>
    <t>Shoe Sales</t>
  </si>
  <si>
    <t>Other Income</t>
  </si>
  <si>
    <t>Direct Labour (Wages)</t>
  </si>
  <si>
    <t>Dept Required?</t>
  </si>
  <si>
    <t>Accounts Receivable - Control</t>
  </si>
  <si>
    <t>Accounts Payable - Control</t>
  </si>
  <si>
    <t>Sales Returns</t>
  </si>
  <si>
    <t>Employee Advances - Control</t>
  </si>
  <si>
    <t>Factory Maintenance Expense</t>
  </si>
  <si>
    <t>Water &amp; Sanitation</t>
  </si>
  <si>
    <t>PTCL / Internet</t>
  </si>
  <si>
    <t>Petrol Charges</t>
  </si>
  <si>
    <t>Machinery &amp; Equipment</t>
  </si>
  <si>
    <t>Bota - Cash In Hand</t>
  </si>
  <si>
    <t>Ahsan - Cash In Hand</t>
  </si>
  <si>
    <t>Shahbaz - Cash In Hand</t>
  </si>
  <si>
    <t>Kamran - Cash In Hand</t>
  </si>
  <si>
    <t>ALL</t>
  </si>
  <si>
    <t>Electricity Bill</t>
  </si>
  <si>
    <t>Machine Maintenance Expense</t>
  </si>
  <si>
    <t>Tax Expense</t>
  </si>
  <si>
    <t>Labour Charges</t>
  </si>
  <si>
    <t xml:space="preserve">Staff Welfare </t>
  </si>
  <si>
    <t>Charity Expense</t>
  </si>
  <si>
    <t>Dye Repair Expense</t>
  </si>
  <si>
    <t>Stationery Expense</t>
  </si>
  <si>
    <t>GatePass &amp; BillBook</t>
  </si>
  <si>
    <t>Office Supplies</t>
  </si>
  <si>
    <t>Office Equipment (Durable)</t>
  </si>
  <si>
    <t>Staff Medicine</t>
  </si>
  <si>
    <t>Union Market</t>
  </si>
  <si>
    <t>Social Security</t>
  </si>
  <si>
    <t>Compliance &amp; Licenses</t>
  </si>
  <si>
    <t>Factory Consumables</t>
  </si>
  <si>
    <t>Cutting Consumables</t>
  </si>
  <si>
    <t>Electrical Consumables</t>
  </si>
  <si>
    <t>Raw Material Inventory</t>
  </si>
  <si>
    <t>Owner Drawings - Haji Sahab</t>
  </si>
  <si>
    <t>Owner Capital - Haji Sahab</t>
  </si>
  <si>
    <t xml:space="preserve">Ittefaque </t>
  </si>
  <si>
    <t xml:space="preserve">MIS </t>
  </si>
  <si>
    <t xml:space="preserve">H Traders </t>
  </si>
  <si>
    <t xml:space="preserve">JazzCash </t>
  </si>
  <si>
    <t xml:space="preserve">Easypaisa </t>
  </si>
  <si>
    <t>Sales Revenue</t>
  </si>
  <si>
    <t>Sales Discounts</t>
  </si>
  <si>
    <t>YES</t>
  </si>
  <si>
    <t>NO</t>
  </si>
  <si>
    <t>DOIB - Cash In Hand</t>
  </si>
  <si>
    <t>Finished Good Inventory - Control</t>
  </si>
  <si>
    <t>Semi-Finished Good Inventory - Control</t>
  </si>
  <si>
    <t>WIP Inventory - Control</t>
  </si>
  <si>
    <t>Raw Material Inventory - Control</t>
  </si>
  <si>
    <t>Wages Payable - Control</t>
  </si>
  <si>
    <t>Salaries Payable - Control</t>
  </si>
  <si>
    <t>Customer Sales Order Advances</t>
  </si>
  <si>
    <t>Capital by Haji Sahab</t>
  </si>
  <si>
    <t>Miscellaneous Income / Scrap Sales</t>
  </si>
  <si>
    <t>Packing Consumables (Tape, Film)</t>
  </si>
  <si>
    <t>Customer Entertainment</t>
  </si>
  <si>
    <t>Staff Food</t>
  </si>
  <si>
    <t>FBR - Income Tax Deductions</t>
  </si>
  <si>
    <t>Other Expense (Restricted)</t>
  </si>
  <si>
    <t xml:space="preserve">Family C. </t>
  </si>
  <si>
    <t>Tools &amp; Dyes/Moulds</t>
  </si>
  <si>
    <t>Haji Sahab Food</t>
  </si>
  <si>
    <t>Haji Sahab Other Expense</t>
  </si>
  <si>
    <t>Haji Sahab Rent</t>
  </si>
  <si>
    <t xml:space="preserve">Vehicle &amp; Conveyance Expenses </t>
  </si>
  <si>
    <t xml:space="preserve">Repairs &amp; Maintenance </t>
  </si>
  <si>
    <t xml:space="preserve">Office Stuff </t>
  </si>
  <si>
    <t>Defective Claims</t>
  </si>
  <si>
    <t>Settlement Deductions</t>
  </si>
  <si>
    <t xml:space="preserve">Raw Material Delivery </t>
  </si>
  <si>
    <t xml:space="preserve">Customer Delivery </t>
  </si>
  <si>
    <t>Freight Outward</t>
  </si>
  <si>
    <t>Inter-Branch Transfer Freight</t>
  </si>
  <si>
    <t>Repair Logistics &amp; Carriage</t>
  </si>
  <si>
    <t>EXPENSE</t>
  </si>
  <si>
    <t>Logistics &amp; Internal Freight</t>
  </si>
  <si>
    <t>CASH</t>
  </si>
  <si>
    <t>BANK</t>
  </si>
  <si>
    <t>Claims</t>
  </si>
  <si>
    <t>بوٹا - کیش ان ہینڈ</t>
  </si>
  <si>
    <t>شہباز - کیش ان ہینڈ</t>
  </si>
  <si>
    <t>احسن - کیش ان ہینڈ</t>
  </si>
  <si>
    <t>کامران - کیش ان ہینڈ</t>
  </si>
  <si>
    <t>ڈی او آئی بی - کیش ان ہینڈ</t>
  </si>
  <si>
    <t>جاز کیش</t>
  </si>
  <si>
    <t>ایزی پیسہ</t>
  </si>
  <si>
    <t>مارکیٹ کھاتہ / کسٹمرز سے وصولی</t>
  </si>
  <si>
    <t>تیار مال (فنشڈ گڈز) انونٹری</t>
  </si>
  <si>
    <t>نیم تیار مال انونٹری</t>
  </si>
  <si>
    <t>مشینری اور آلات</t>
  </si>
  <si>
    <t>اوزار اور ڈائیاں / سانچے</t>
  </si>
  <si>
    <t>دفتری سامان / آفس کا سامان</t>
  </si>
  <si>
    <t>سپلائر کھاتہ / واجب الادا ادائیگیاں</t>
  </si>
  <si>
    <t>سرمایہ - حاجی صاحب</t>
  </si>
  <si>
    <t>حاجی صاحب - کرایہ (ذاتی)</t>
  </si>
  <si>
    <t>حاجی صاحب - کھانا (ذاتی)</t>
  </si>
  <si>
    <t>حاجی صاحب - دیگر اخراجات (ذاتی)</t>
  </si>
  <si>
    <t>جوتوں کی سیل / مال کی فروخت</t>
  </si>
  <si>
    <t>واپسی مال / سیلز ریٹرن</t>
  </si>
  <si>
    <t>سیلز ڈسکاؤنٹ / رعایت</t>
  </si>
  <si>
    <t>متفرق آمدنی / کباڑ (سکریپ) کی سیل</t>
  </si>
  <si>
    <t>مزدوری کے اخراجات / لیبر چارجز</t>
  </si>
  <si>
    <t>کٹنگ کا سامان</t>
  </si>
  <si>
    <t>بجلی کا سامان</t>
  </si>
  <si>
    <t>پیکنگ کا سامان (ٹیپ، شاپر وغیرہ)</t>
  </si>
  <si>
    <t>کچے مال کا کرایہ / مال لانے کا کرایہ</t>
  </si>
  <si>
    <t>کسٹمر ڈلیوری / مال بھیجنے کا کرایہ</t>
  </si>
  <si>
    <t>فیکٹری کی مرمت اور دیکھ بھال</t>
  </si>
  <si>
    <t>ڈائی کی مرمت کے اخراجات</t>
  </si>
  <si>
    <t>مشینوں کی مرمت کے اخراجات</t>
  </si>
  <si>
    <t>پانی اور صفائی کا بل</t>
  </si>
  <si>
    <t>پی ٹی سی ایل / انٹرنیٹ کا بل</t>
  </si>
  <si>
    <t>بجلی کا بل</t>
  </si>
  <si>
    <t>پٹرول کے اخراجات</t>
  </si>
  <si>
    <t>کسٹمر کے خانے پینے کے اخراجات (چائے پانی)</t>
  </si>
  <si>
    <t>سٹاف کا کھانا</t>
  </si>
  <si>
    <t>سٹیشنری کے اخراجات</t>
  </si>
  <si>
    <t>گیٹ پاس اور بل بک کی چھپائی</t>
  </si>
  <si>
    <t>یونین مارکیٹ فیس</t>
  </si>
  <si>
    <t>سوشل سیکیورٹی</t>
  </si>
  <si>
    <t>ایف بی آر - انکم ٹیکس کٹوتی</t>
  </si>
  <si>
    <t>کلیم / خراب مال کا نقصان</t>
  </si>
  <si>
    <t>کھاتے کی کٹوتی (شارٹیج)</t>
  </si>
  <si>
    <t>صدقہ و خیرات</t>
  </si>
  <si>
    <t>دیگر اخراجات / متفرق خرچہ</t>
  </si>
  <si>
    <t>مرمت کے لیے مال لانے لے جانے کا کرایہ</t>
  </si>
  <si>
    <t xml:space="preserve">فیملی چپل </t>
  </si>
  <si>
    <t xml:space="preserve">اتفاق </t>
  </si>
  <si>
    <t xml:space="preserve">ایم آئی ایس </t>
  </si>
  <si>
    <t xml:space="preserve">ایچ ٹریڈرز </t>
  </si>
  <si>
    <t xml:space="preserve"> سٹاف ایڈوانس</t>
  </si>
  <si>
    <t>نامکمل مال  انونٹری</t>
  </si>
  <si>
    <t>خام مال انونٹری</t>
  </si>
  <si>
    <t xml:space="preserve">کسٹمر ایڈوانس </t>
  </si>
  <si>
    <t>سٹاف کی ادویات</t>
  </si>
  <si>
    <t xml:space="preserve"> آفس کا متفرق سامان</t>
  </si>
  <si>
    <t xml:space="preserve">برانچ ٹرانسفر کا کرایہ </t>
  </si>
  <si>
    <t xml:space="preserve">Miscellaneous Expense </t>
  </si>
  <si>
    <t xml:space="preserve">Fixed Assets </t>
  </si>
  <si>
    <t>Payroll Liabilities</t>
  </si>
  <si>
    <t>Advances from Customers</t>
  </si>
  <si>
    <t xml:space="preserve">واجب الادا مزدوری </t>
  </si>
  <si>
    <t xml:space="preserve">واجب الادا تنخواہیں </t>
  </si>
  <si>
    <t>REVENUE</t>
  </si>
  <si>
    <t>PURCHASE RETURNS</t>
  </si>
  <si>
    <t>Purchase Discounts Received</t>
  </si>
  <si>
    <t>Customer Relations Expenses</t>
  </si>
  <si>
    <t>Purchase Adjustments</t>
  </si>
  <si>
    <t>Advances</t>
  </si>
  <si>
    <t>Internal Defect Loss</t>
  </si>
  <si>
    <t xml:space="preserve">  پرچیز ریٹرن</t>
  </si>
  <si>
    <t xml:space="preserve"> پرچیز ڈسکاؤنٹ</t>
  </si>
  <si>
    <t xml:space="preserve"> اندرونی خرابی کا نقصان</t>
  </si>
  <si>
    <t>کیش ان ہینڈ</t>
  </si>
  <si>
    <t>بینک اور والٹس</t>
  </si>
  <si>
    <t>ایڈوانسز</t>
  </si>
  <si>
    <t>ٹیکس کے اخراجات</t>
  </si>
  <si>
    <t>ڈرائنگز - حاجی صاحب (ذاتی)</t>
  </si>
  <si>
    <t>جمع شدہ منافع / رواں سال کا منافع</t>
  </si>
  <si>
    <t>سیلز کی آمدنی</t>
  </si>
  <si>
    <t>یوٹیلٹیز (بجلی، پانی، انٹرنیٹ)</t>
  </si>
  <si>
    <t>گاڑی اور سفر کے اخراجات</t>
  </si>
  <si>
    <t>سٹاف ویلفیئر</t>
  </si>
  <si>
    <t>متفرق اخراجات</t>
  </si>
  <si>
    <t>قانونی فیس اور لائسنس</t>
  </si>
  <si>
    <t>فیکٹری کا استعمالی سامان</t>
  </si>
  <si>
    <t>لاجسٹکس اور اندرونی کرایہ</t>
  </si>
  <si>
    <t>خریداری کی ایڈجسٹمنٹس</t>
  </si>
  <si>
    <t xml:space="preserve"> وصولیاں</t>
  </si>
  <si>
    <t xml:space="preserve"> سٹاک</t>
  </si>
  <si>
    <t xml:space="preserve"> مستقل اثاثے</t>
  </si>
  <si>
    <t xml:space="preserve"> ادائیگیاں</t>
  </si>
  <si>
    <t xml:space="preserve">واجب الادا بقایا جات </t>
  </si>
  <si>
    <t xml:space="preserve"> مزدوری</t>
  </si>
  <si>
    <t xml:space="preserve">مرمت </t>
  </si>
  <si>
    <t xml:space="preserve">کسٹمر ریلیشنز </t>
  </si>
  <si>
    <t>دفتری سامان</t>
  </si>
  <si>
    <t xml:space="preserve">کلیمز </t>
  </si>
  <si>
    <t>مال بھیجنے کا کرایہ</t>
  </si>
  <si>
    <t xml:space="preserve">مال لانے کا کرایہ </t>
  </si>
  <si>
    <t xml:space="preserve"> دیگر آمدنی</t>
  </si>
  <si>
    <t>Production Inventory</t>
  </si>
  <si>
    <t>inventory_rm</t>
  </si>
  <si>
    <t>accounts_receivable_control</t>
  </si>
  <si>
    <t>accounts_payable_control</t>
  </si>
  <si>
    <t>sales_revenue</t>
  </si>
  <si>
    <t>wages_payable</t>
  </si>
  <si>
    <t>Advances From Customers</t>
  </si>
  <si>
    <t>gl_inventory_rm_control</t>
  </si>
  <si>
    <t>gl_ar_control</t>
  </si>
  <si>
    <t>gl_ap_control</t>
  </si>
  <si>
    <t>gl_advances_from_customers</t>
  </si>
  <si>
    <t>gl_sales_revenue</t>
  </si>
  <si>
    <t>gl_wages_payable_control</t>
  </si>
  <si>
    <t>gl_salaries_payable_control</t>
  </si>
  <si>
    <t>advances_from_customers</t>
  </si>
  <si>
    <t>defected_return_expense</t>
  </si>
  <si>
    <t xml:space="preserve"> </t>
  </si>
  <si>
    <t>Labour Advances</t>
  </si>
  <si>
    <t xml:space="preserve">Accounts - Account Name </t>
  </si>
  <si>
    <t>Accounts - Name (Urdu)</t>
  </si>
  <si>
    <t xml:space="preserve">Accounts - Account Type </t>
  </si>
  <si>
    <t>Accounts - Account Group</t>
  </si>
  <si>
    <t>Accounts -POSTING CLASS</t>
  </si>
  <si>
    <t>Accounts - Branches</t>
  </si>
  <si>
    <t>Freight Inward</t>
  </si>
  <si>
    <t>Accounts - CODE</t>
  </si>
  <si>
    <t>Accounts - LOCK POSTING?</t>
  </si>
  <si>
    <t>Accounts -Contra Account</t>
  </si>
  <si>
    <t>Account Groups - CODE</t>
  </si>
  <si>
    <t>Account Groups - Account Name</t>
  </si>
  <si>
    <t>Account Groups - Name (Urdu)</t>
  </si>
  <si>
    <t>Account Groups - Account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</si>
</sst>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0" fillId="0" borderId="1" xfId="0" applyFont="1" applyBorder="1"/>
    <xf numFmtId="0" fontId="1" fillId="0" borderId="0" xfId="0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AC1C-4099-461B-8FB3-D248F5DA9005}">
  <dimension ref="A1:O65"/>
  <sheetViews>
    <sheetView tabSelected="1" topLeftCell="I1" workbookViewId="0">
      <selection activeCell="L11" sqref="L11"/>
    </sheetView>
  </sheetViews>
  <sheetFormatPr defaultRowHeight="14.5" x14ac:dyDescent="0.35"/>
  <cols>
    <col min="1" max="1" width="26.36328125" style="1" customWidth="1"/>
    <col min="2" max="2" width="36" style="1" bestFit="1" customWidth="1"/>
    <col min="3" max="4" width="36" style="1" customWidth="1"/>
    <col min="5" max="5" width="26.36328125" style="1" customWidth="1"/>
    <col min="6" max="6" width="16.7265625" style="1" customWidth="1"/>
    <col min="7" max="7" width="14.54296875" style="1" bestFit="1" customWidth="1"/>
    <col min="8" max="8" width="15.90625" style="1" customWidth="1"/>
    <col min="9" max="9" width="17.26953125" style="1" customWidth="1"/>
    <col min="10" max="11" width="14.54296875" style="1" customWidth="1"/>
    <col min="12" max="12" width="28.81640625" style="1" customWidth="1"/>
    <col min="13" max="13" width="37.08984375" style="1" bestFit="1" customWidth="1"/>
    <col min="14" max="14" width="28.7265625" style="1" bestFit="1" customWidth="1"/>
    <col min="15" max="15" width="27.1796875" style="1" bestFit="1" customWidth="1"/>
    <col min="16" max="16384" width="8.7265625" style="1"/>
  </cols>
  <sheetData>
    <row r="1" spans="1:15" ht="29.5" thickBot="1" x14ac:dyDescent="0.4">
      <c r="A1" s="2" t="s">
        <v>224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225</v>
      </c>
      <c r="G1" s="2" t="s">
        <v>226</v>
      </c>
      <c r="H1" s="3" t="s">
        <v>221</v>
      </c>
      <c r="I1" s="3" t="s">
        <v>222</v>
      </c>
      <c r="J1" s="2" t="s">
        <v>17</v>
      </c>
      <c r="K1" s="3"/>
      <c r="L1" s="5" t="s">
        <v>227</v>
      </c>
      <c r="M1" s="1" t="s">
        <v>228</v>
      </c>
      <c r="N1" s="5" t="s">
        <v>229</v>
      </c>
      <c r="O1" s="9" t="s">
        <v>230</v>
      </c>
    </row>
    <row r="2" spans="1:15" ht="15" thickBot="1" x14ac:dyDescent="0.4">
      <c r="A2" s="1" t="s">
        <v>208</v>
      </c>
      <c r="B2" s="2" t="s">
        <v>19</v>
      </c>
      <c r="C2" s="2" t="s">
        <v>110</v>
      </c>
      <c r="D2" s="2" t="str">
        <f>VLOOKUP(E2,M:O,3,FALSE)</f>
        <v>Liability</v>
      </c>
      <c r="E2" s="2" t="s">
        <v>11</v>
      </c>
      <c r="F2" s="2" t="s">
        <v>60</v>
      </c>
      <c r="G2" s="2" t="s">
        <v>61</v>
      </c>
      <c r="H2" s="3"/>
      <c r="I2" s="3" t="s">
        <v>31</v>
      </c>
      <c r="J2" s="2" t="s">
        <v>5</v>
      </c>
      <c r="K2" s="3"/>
      <c r="L2" s="1" t="s">
        <v>202</v>
      </c>
      <c r="M2" s="1" t="s">
        <v>11</v>
      </c>
      <c r="N2" s="1" t="s">
        <v>189</v>
      </c>
      <c r="O2" s="1" t="s">
        <v>1</v>
      </c>
    </row>
    <row r="3" spans="1:15" ht="29.5" thickBot="1" x14ac:dyDescent="0.4">
      <c r="A3" s="4" t="s">
        <v>207</v>
      </c>
      <c r="B3" s="2" t="s">
        <v>18</v>
      </c>
      <c r="C3" s="2" t="s">
        <v>104</v>
      </c>
      <c r="D3" s="2" t="str">
        <f>VLOOKUP(E3,M:O,3,FALSE)</f>
        <v>Asset</v>
      </c>
      <c r="E3" s="2" t="s">
        <v>10</v>
      </c>
      <c r="F3" s="2" t="s">
        <v>60</v>
      </c>
      <c r="G3" s="2" t="s">
        <v>61</v>
      </c>
      <c r="H3" s="3"/>
      <c r="I3" s="3" t="s">
        <v>31</v>
      </c>
      <c r="J3" s="2" t="s">
        <v>5</v>
      </c>
      <c r="K3" s="3"/>
      <c r="L3" s="5" t="s">
        <v>201</v>
      </c>
      <c r="M3" s="1" t="s">
        <v>10</v>
      </c>
      <c r="N3" s="1" t="s">
        <v>186</v>
      </c>
      <c r="O3" s="1" t="s">
        <v>0</v>
      </c>
    </row>
    <row r="4" spans="1:15" ht="15" thickBot="1" x14ac:dyDescent="0.4">
      <c r="A4" s="4"/>
      <c r="B4" s="2" t="s">
        <v>216</v>
      </c>
      <c r="C4" s="2"/>
      <c r="D4" s="2" t="str">
        <f>VLOOKUP(E4,M:O,3,FALSE)</f>
        <v>Asset</v>
      </c>
      <c r="E4" s="2" t="s">
        <v>166</v>
      </c>
      <c r="F4" s="2" t="s">
        <v>60</v>
      </c>
      <c r="G4" s="2" t="s">
        <v>61</v>
      </c>
      <c r="H4" s="3"/>
      <c r="I4" s="3" t="s">
        <v>31</v>
      </c>
      <c r="J4" s="2" t="s">
        <v>61</v>
      </c>
      <c r="K4" s="3"/>
      <c r="M4" s="1" t="s">
        <v>12</v>
      </c>
      <c r="N4" s="1" t="s">
        <v>190</v>
      </c>
      <c r="O4" s="1" t="s">
        <v>1</v>
      </c>
    </row>
    <row r="5" spans="1:15" ht="15" thickBot="1" x14ac:dyDescent="0.4">
      <c r="A5" s="2"/>
      <c r="B5" s="2" t="s">
        <v>21</v>
      </c>
      <c r="C5" s="2" t="s">
        <v>148</v>
      </c>
      <c r="D5" s="2" t="str">
        <f>VLOOKUP(E5,M:O,3,FALSE)</f>
        <v>Asset</v>
      </c>
      <c r="E5" s="2" t="s">
        <v>166</v>
      </c>
      <c r="F5" s="2" t="s">
        <v>60</v>
      </c>
      <c r="G5" s="2" t="s">
        <v>61</v>
      </c>
      <c r="H5" s="3"/>
      <c r="I5" s="3" t="s">
        <v>31</v>
      </c>
      <c r="J5" s="2" t="s">
        <v>5</v>
      </c>
      <c r="K5" s="3"/>
      <c r="M5" s="1" t="s">
        <v>166</v>
      </c>
      <c r="N5" s="1" t="s">
        <v>173</v>
      </c>
      <c r="O5" s="1" t="s">
        <v>0</v>
      </c>
    </row>
    <row r="6" spans="1:15" ht="15" thickBot="1" x14ac:dyDescent="0.4">
      <c r="A6" s="1" t="s">
        <v>209</v>
      </c>
      <c r="B6" s="2" t="s">
        <v>69</v>
      </c>
      <c r="C6" s="2" t="s">
        <v>151</v>
      </c>
      <c r="D6" s="2" t="str">
        <f>VLOOKUP(E6,M:O,3,FALSE)</f>
        <v>Liability</v>
      </c>
      <c r="E6" s="2" t="s">
        <v>205</v>
      </c>
      <c r="F6" s="2" t="s">
        <v>60</v>
      </c>
      <c r="G6" s="2" t="s">
        <v>61</v>
      </c>
      <c r="H6" s="3"/>
      <c r="I6" s="3" t="s">
        <v>31</v>
      </c>
      <c r="J6" s="2" t="s">
        <v>5</v>
      </c>
      <c r="K6" s="3"/>
      <c r="L6" s="1" t="s">
        <v>213</v>
      </c>
      <c r="M6" s="1" t="s">
        <v>158</v>
      </c>
      <c r="N6" s="1" t="s">
        <v>173</v>
      </c>
      <c r="O6" s="5" t="s">
        <v>1</v>
      </c>
    </row>
    <row r="7" spans="1:15" ht="15" thickBot="1" x14ac:dyDescent="0.4">
      <c r="A7" s="2"/>
      <c r="B7" s="2" t="s">
        <v>77</v>
      </c>
      <c r="C7" s="2" t="s">
        <v>144</v>
      </c>
      <c r="D7" s="2" t="str">
        <f>VLOOKUP(E7,M:O,3,FALSE)</f>
        <v>Asset</v>
      </c>
      <c r="E7" s="2" t="s">
        <v>9</v>
      </c>
      <c r="F7" s="2" t="s">
        <v>61</v>
      </c>
      <c r="G7" s="2" t="s">
        <v>61</v>
      </c>
      <c r="H7" s="3" t="s">
        <v>95</v>
      </c>
      <c r="I7" s="3" t="s">
        <v>31</v>
      </c>
      <c r="J7" s="2" t="s">
        <v>5</v>
      </c>
      <c r="K7" s="3"/>
      <c r="M7" s="1" t="s">
        <v>9</v>
      </c>
      <c r="N7" s="1" t="s">
        <v>172</v>
      </c>
      <c r="O7" s="1" t="s">
        <v>0</v>
      </c>
    </row>
    <row r="8" spans="1:15" ht="15" thickBot="1" x14ac:dyDescent="0.4">
      <c r="A8" s="2"/>
      <c r="B8" s="2" t="s">
        <v>53</v>
      </c>
      <c r="C8" s="2" t="s">
        <v>145</v>
      </c>
      <c r="D8" s="2" t="str">
        <f>VLOOKUP(E8,M:O,3,FALSE)</f>
        <v>Asset</v>
      </c>
      <c r="E8" s="2" t="s">
        <v>9</v>
      </c>
      <c r="F8" s="2" t="s">
        <v>61</v>
      </c>
      <c r="G8" s="2" t="s">
        <v>61</v>
      </c>
      <c r="H8" s="3" t="s">
        <v>95</v>
      </c>
      <c r="I8" s="3" t="s">
        <v>31</v>
      </c>
      <c r="J8" s="2" t="s">
        <v>5</v>
      </c>
      <c r="K8" s="3"/>
      <c r="M8" s="1" t="s">
        <v>8</v>
      </c>
      <c r="N8" s="1" t="s">
        <v>171</v>
      </c>
      <c r="O8" s="1" t="s">
        <v>0</v>
      </c>
    </row>
    <row r="9" spans="1:15" ht="15" thickBot="1" x14ac:dyDescent="0.4">
      <c r="A9" s="2"/>
      <c r="B9" s="2" t="s">
        <v>54</v>
      </c>
      <c r="C9" s="2" t="s">
        <v>146</v>
      </c>
      <c r="D9" s="2" t="str">
        <f>VLOOKUP(E9,M:O,3,FALSE)</f>
        <v>Asset</v>
      </c>
      <c r="E9" s="2" t="s">
        <v>9</v>
      </c>
      <c r="F9" s="2" t="s">
        <v>61</v>
      </c>
      <c r="G9" s="2" t="s">
        <v>61</v>
      </c>
      <c r="H9" s="3" t="s">
        <v>95</v>
      </c>
      <c r="I9" s="3" t="s">
        <v>31</v>
      </c>
      <c r="J9" s="2" t="s">
        <v>5</v>
      </c>
      <c r="K9" s="3"/>
      <c r="L9" s="1" t="s">
        <v>214</v>
      </c>
      <c r="M9" s="1" t="s">
        <v>96</v>
      </c>
      <c r="N9" s="1" t="s">
        <v>195</v>
      </c>
      <c r="O9" s="1" t="s">
        <v>4</v>
      </c>
    </row>
    <row r="10" spans="1:15" ht="15" thickBot="1" x14ac:dyDescent="0.4">
      <c r="A10" s="2"/>
      <c r="B10" s="2" t="s">
        <v>55</v>
      </c>
      <c r="C10" s="2" t="s">
        <v>147</v>
      </c>
      <c r="D10" s="2" t="str">
        <f>VLOOKUP(E10,M:O,3,FALSE)</f>
        <v>Asset</v>
      </c>
      <c r="E10" s="2" t="s">
        <v>9</v>
      </c>
      <c r="F10" s="2" t="s">
        <v>61</v>
      </c>
      <c r="G10" s="2" t="s">
        <v>61</v>
      </c>
      <c r="H10" s="3" t="s">
        <v>95</v>
      </c>
      <c r="I10" s="3" t="s">
        <v>31</v>
      </c>
      <c r="J10" s="2" t="s">
        <v>5</v>
      </c>
      <c r="K10" s="3"/>
      <c r="M10" s="1" t="s">
        <v>46</v>
      </c>
      <c r="N10" s="1" t="s">
        <v>182</v>
      </c>
      <c r="O10" s="1" t="s">
        <v>4</v>
      </c>
    </row>
    <row r="11" spans="1:15" ht="15" thickBot="1" x14ac:dyDescent="0.4">
      <c r="A11" s="2"/>
      <c r="B11" s="2" t="s">
        <v>56</v>
      </c>
      <c r="C11" s="2" t="s">
        <v>102</v>
      </c>
      <c r="D11" s="2" t="str">
        <f>VLOOKUP(E11,M:O,3,FALSE)</f>
        <v>Asset</v>
      </c>
      <c r="E11" s="2" t="s">
        <v>9</v>
      </c>
      <c r="F11" s="2" t="s">
        <v>61</v>
      </c>
      <c r="G11" s="2" t="s">
        <v>61</v>
      </c>
      <c r="H11" s="3" t="s">
        <v>95</v>
      </c>
      <c r="I11" s="3" t="s">
        <v>31</v>
      </c>
      <c r="J11" s="2" t="s">
        <v>5</v>
      </c>
      <c r="K11" s="3"/>
      <c r="M11" s="1" t="s">
        <v>164</v>
      </c>
      <c r="N11" s="1" t="s">
        <v>193</v>
      </c>
      <c r="O11" s="1" t="s">
        <v>4</v>
      </c>
    </row>
    <row r="12" spans="1:15" ht="15" thickBot="1" x14ac:dyDescent="0.4">
      <c r="A12" s="2"/>
      <c r="B12" s="2" t="s">
        <v>57</v>
      </c>
      <c r="C12" s="2" t="s">
        <v>103</v>
      </c>
      <c r="D12" s="2" t="str">
        <f>VLOOKUP(E12,M:O,3,FALSE)</f>
        <v>Asset</v>
      </c>
      <c r="E12" s="2" t="s">
        <v>9</v>
      </c>
      <c r="F12" s="2" t="s">
        <v>61</v>
      </c>
      <c r="G12" s="2" t="s">
        <v>61</v>
      </c>
      <c r="H12" s="3" t="s">
        <v>95</v>
      </c>
      <c r="I12" s="3" t="s">
        <v>31</v>
      </c>
      <c r="J12" s="2" t="s">
        <v>5</v>
      </c>
      <c r="K12" s="3"/>
      <c r="M12" s="1" t="s">
        <v>16</v>
      </c>
      <c r="N12" s="1" t="s">
        <v>191</v>
      </c>
      <c r="O12" s="1" t="s">
        <v>4</v>
      </c>
    </row>
    <row r="13" spans="1:15" ht="15" thickBot="1" x14ac:dyDescent="0.4">
      <c r="A13" s="2"/>
      <c r="B13" s="2" t="s">
        <v>27</v>
      </c>
      <c r="C13" s="2" t="s">
        <v>97</v>
      </c>
      <c r="D13" s="2" t="str">
        <f>VLOOKUP(E13,M:O,3,FALSE)</f>
        <v>Asset</v>
      </c>
      <c r="E13" s="2" t="s">
        <v>8</v>
      </c>
      <c r="F13" s="2" t="s">
        <v>61</v>
      </c>
      <c r="G13" s="2" t="s">
        <v>61</v>
      </c>
      <c r="H13" s="3" t="s">
        <v>94</v>
      </c>
      <c r="I13" s="3">
        <v>207</v>
      </c>
      <c r="J13" s="2" t="s">
        <v>5</v>
      </c>
      <c r="K13" s="3"/>
      <c r="M13" s="1" t="s">
        <v>47</v>
      </c>
      <c r="N13" s="1" t="s">
        <v>183</v>
      </c>
      <c r="O13" s="1" t="s">
        <v>4</v>
      </c>
    </row>
    <row r="14" spans="1:15" ht="15" thickBot="1" x14ac:dyDescent="0.4">
      <c r="A14" s="3"/>
      <c r="B14" s="2" t="s">
        <v>29</v>
      </c>
      <c r="C14" s="2" t="s">
        <v>98</v>
      </c>
      <c r="D14" s="2" t="str">
        <f>VLOOKUP(E14,M:O,3,FALSE)</f>
        <v>Asset</v>
      </c>
      <c r="E14" s="2" t="s">
        <v>8</v>
      </c>
      <c r="F14" s="2" t="s">
        <v>61</v>
      </c>
      <c r="G14" s="2" t="s">
        <v>61</v>
      </c>
      <c r="H14" s="3" t="s">
        <v>94</v>
      </c>
      <c r="I14" s="3">
        <v>207</v>
      </c>
      <c r="J14" s="2" t="s">
        <v>5</v>
      </c>
      <c r="K14" s="3"/>
      <c r="M14" s="1" t="s">
        <v>156</v>
      </c>
      <c r="N14" s="1" t="s">
        <v>188</v>
      </c>
      <c r="O14" s="1" t="s">
        <v>0</v>
      </c>
    </row>
    <row r="15" spans="1:15" ht="15" thickBot="1" x14ac:dyDescent="0.4">
      <c r="A15" s="2"/>
      <c r="B15" s="2" t="s">
        <v>28</v>
      </c>
      <c r="C15" s="2" t="s">
        <v>99</v>
      </c>
      <c r="D15" s="2" t="str">
        <f>VLOOKUP(E15,M:O,3,FALSE)</f>
        <v>Asset</v>
      </c>
      <c r="E15" s="2" t="s">
        <v>8</v>
      </c>
      <c r="F15" s="2" t="s">
        <v>61</v>
      </c>
      <c r="G15" s="2" t="s">
        <v>61</v>
      </c>
      <c r="H15" s="3" t="s">
        <v>94</v>
      </c>
      <c r="I15" s="3">
        <v>124</v>
      </c>
      <c r="J15" s="2" t="s">
        <v>5</v>
      </c>
      <c r="K15" s="3"/>
      <c r="L15" s="5"/>
      <c r="M15" s="5" t="s">
        <v>89</v>
      </c>
      <c r="N15" s="1" t="s">
        <v>196</v>
      </c>
      <c r="O15" s="5" t="s">
        <v>4</v>
      </c>
    </row>
    <row r="16" spans="1:15" ht="15" thickBot="1" x14ac:dyDescent="0.4">
      <c r="A16" s="2"/>
      <c r="B16" s="2" t="s">
        <v>30</v>
      </c>
      <c r="C16" s="2" t="s">
        <v>100</v>
      </c>
      <c r="D16" s="2" t="str">
        <f>VLOOKUP(E16,M:O,3,FALSE)</f>
        <v>Asset</v>
      </c>
      <c r="E16" s="2" t="s">
        <v>8</v>
      </c>
      <c r="F16" s="2" t="s">
        <v>61</v>
      </c>
      <c r="G16" s="2" t="s">
        <v>61</v>
      </c>
      <c r="H16" s="3" t="s">
        <v>94</v>
      </c>
      <c r="I16" s="3">
        <v>29</v>
      </c>
      <c r="J16" s="2" t="s">
        <v>5</v>
      </c>
      <c r="K16" s="3"/>
      <c r="L16" s="5"/>
      <c r="M16" s="1" t="s">
        <v>223</v>
      </c>
      <c r="N16" s="1" t="s">
        <v>197</v>
      </c>
      <c r="O16" s="5" t="s">
        <v>4</v>
      </c>
    </row>
    <row r="17" spans="1:15" ht="15" thickBot="1" x14ac:dyDescent="0.4">
      <c r="A17" s="2"/>
      <c r="B17" s="2" t="s">
        <v>85</v>
      </c>
      <c r="C17" s="2" t="s">
        <v>139</v>
      </c>
      <c r="D17" s="2" t="str">
        <f>VLOOKUP(E17,M:O,3,FALSE)</f>
        <v>Expense</v>
      </c>
      <c r="E17" s="2" t="s">
        <v>96</v>
      </c>
      <c r="F17" s="2" t="s">
        <v>61</v>
      </c>
      <c r="G17" s="2" t="s">
        <v>61</v>
      </c>
      <c r="H17" s="3"/>
      <c r="I17" s="3" t="s">
        <v>31</v>
      </c>
      <c r="J17" s="2" t="s">
        <v>6</v>
      </c>
      <c r="K17" s="3"/>
      <c r="L17" s="5"/>
      <c r="M17" s="1" t="s">
        <v>93</v>
      </c>
      <c r="N17" s="1" t="s">
        <v>184</v>
      </c>
      <c r="O17" s="5" t="s">
        <v>92</v>
      </c>
    </row>
    <row r="18" spans="1:15" ht="15" thickBot="1" x14ac:dyDescent="0.4">
      <c r="A18" s="4"/>
      <c r="B18" s="4" t="s">
        <v>167</v>
      </c>
      <c r="C18" s="4" t="s">
        <v>170</v>
      </c>
      <c r="D18" s="2" t="str">
        <f>VLOOKUP(E18,M:O,3,FALSE)</f>
        <v>Expense</v>
      </c>
      <c r="E18" s="4" t="s">
        <v>96</v>
      </c>
      <c r="F18" s="6" t="s">
        <v>61</v>
      </c>
      <c r="G18" s="6" t="s">
        <v>61</v>
      </c>
      <c r="I18" s="3" t="s">
        <v>31</v>
      </c>
      <c r="J18" s="6" t="s">
        <v>60</v>
      </c>
      <c r="K18" s="5"/>
      <c r="M18" s="1" t="s">
        <v>155</v>
      </c>
      <c r="N18" s="1" t="s">
        <v>181</v>
      </c>
      <c r="O18" s="1" t="s">
        <v>4</v>
      </c>
    </row>
    <row r="19" spans="1:15" ht="15" thickBot="1" x14ac:dyDescent="0.4">
      <c r="A19" s="3"/>
      <c r="B19" s="2" t="s">
        <v>44</v>
      </c>
      <c r="C19" s="2" t="s">
        <v>136</v>
      </c>
      <c r="D19" s="2" t="str">
        <f>VLOOKUP(E19,M:O,3,FALSE)</f>
        <v>Expense</v>
      </c>
      <c r="E19" s="2" t="s">
        <v>46</v>
      </c>
      <c r="F19" s="2" t="s">
        <v>61</v>
      </c>
      <c r="G19" s="2" t="s">
        <v>61</v>
      </c>
      <c r="H19" s="3"/>
      <c r="I19" s="3" t="s">
        <v>31</v>
      </c>
      <c r="J19" s="2" t="s">
        <v>6</v>
      </c>
      <c r="K19" s="3"/>
      <c r="M19" s="1" t="s">
        <v>41</v>
      </c>
      <c r="N19" s="1" t="s">
        <v>194</v>
      </c>
      <c r="O19" s="1" t="s">
        <v>4</v>
      </c>
    </row>
    <row r="20" spans="1:15" ht="15" thickBot="1" x14ac:dyDescent="0.4">
      <c r="A20" s="2"/>
      <c r="B20" s="2" t="s">
        <v>45</v>
      </c>
      <c r="C20" s="2" t="s">
        <v>137</v>
      </c>
      <c r="D20" s="2" t="str">
        <f>VLOOKUP(E20,M:O,3,FALSE)</f>
        <v>Expense</v>
      </c>
      <c r="E20" s="2" t="s">
        <v>46</v>
      </c>
      <c r="F20" s="2" t="s">
        <v>61</v>
      </c>
      <c r="G20" s="2" t="s">
        <v>61</v>
      </c>
      <c r="H20" s="3"/>
      <c r="I20" s="3" t="s">
        <v>31</v>
      </c>
      <c r="J20" s="2" t="s">
        <v>6</v>
      </c>
      <c r="K20" s="3"/>
      <c r="L20" s="5"/>
      <c r="M20" s="5" t="s">
        <v>15</v>
      </c>
      <c r="N20" s="1" t="s">
        <v>198</v>
      </c>
      <c r="O20" s="5" t="s">
        <v>161</v>
      </c>
    </row>
    <row r="21" spans="1:15" ht="15" thickBot="1" x14ac:dyDescent="0.4">
      <c r="A21" s="2"/>
      <c r="B21" s="2" t="s">
        <v>73</v>
      </c>
      <c r="C21" s="2" t="s">
        <v>132</v>
      </c>
      <c r="D21" s="2" t="str">
        <f>VLOOKUP(E21,M:O,3,FALSE)</f>
        <v>Expense</v>
      </c>
      <c r="E21" s="2" t="s">
        <v>164</v>
      </c>
      <c r="F21" s="2" t="s">
        <v>61</v>
      </c>
      <c r="G21" s="2" t="s">
        <v>61</v>
      </c>
      <c r="H21" s="3"/>
      <c r="I21" s="3" t="s">
        <v>31</v>
      </c>
      <c r="J21" s="2" t="s">
        <v>6</v>
      </c>
      <c r="K21" s="3"/>
      <c r="M21" s="1" t="s">
        <v>52</v>
      </c>
      <c r="N21" s="1" t="s">
        <v>111</v>
      </c>
      <c r="O21" s="1" t="s">
        <v>2</v>
      </c>
    </row>
    <row r="22" spans="1:15" ht="15" thickBot="1" x14ac:dyDescent="0.4">
      <c r="A22" s="2"/>
      <c r="B22" s="2" t="s">
        <v>86</v>
      </c>
      <c r="C22" s="2" t="s">
        <v>140</v>
      </c>
      <c r="D22" s="2" t="str">
        <f>VLOOKUP(E22,M:O,3,FALSE)</f>
        <v>Expense</v>
      </c>
      <c r="E22" s="2" t="s">
        <v>164</v>
      </c>
      <c r="F22" s="2" t="s">
        <v>61</v>
      </c>
      <c r="G22" s="2" t="s">
        <v>61</v>
      </c>
      <c r="H22" s="3"/>
      <c r="I22" s="3" t="s">
        <v>31</v>
      </c>
      <c r="J22" s="2" t="s">
        <v>6</v>
      </c>
      <c r="K22" s="3"/>
      <c r="M22" s="1" t="s">
        <v>51</v>
      </c>
      <c r="N22" s="1" t="s">
        <v>175</v>
      </c>
      <c r="O22" s="1" t="s">
        <v>2</v>
      </c>
    </row>
    <row r="23" spans="1:15" ht="15" thickBot="1" x14ac:dyDescent="0.4">
      <c r="A23" s="2"/>
      <c r="B23" s="2" t="s">
        <v>35</v>
      </c>
      <c r="C23" s="2" t="s">
        <v>119</v>
      </c>
      <c r="D23" s="2" t="str">
        <f>VLOOKUP(E23,M:O,3,FALSE)</f>
        <v>Expense</v>
      </c>
      <c r="E23" s="2" t="s">
        <v>16</v>
      </c>
      <c r="F23" s="2" t="s">
        <v>61</v>
      </c>
      <c r="G23" s="2" t="s">
        <v>61</v>
      </c>
      <c r="H23" s="3"/>
      <c r="I23" s="3" t="s">
        <v>31</v>
      </c>
      <c r="J23" s="2" t="s">
        <v>6</v>
      </c>
      <c r="K23" s="3"/>
      <c r="L23" s="1" t="s">
        <v>204</v>
      </c>
      <c r="M23" s="1" t="s">
        <v>157</v>
      </c>
      <c r="N23" s="1" t="s">
        <v>160</v>
      </c>
      <c r="O23" s="5" t="s">
        <v>1</v>
      </c>
    </row>
    <row r="24" spans="1:15" ht="15" thickBot="1" x14ac:dyDescent="0.4">
      <c r="A24" s="2"/>
      <c r="B24" s="2" t="s">
        <v>48</v>
      </c>
      <c r="C24" s="2" t="s">
        <v>120</v>
      </c>
      <c r="D24" s="2" t="str">
        <f>VLOOKUP(E24,M:O,3,FALSE)</f>
        <v>Expense</v>
      </c>
      <c r="E24" s="2" t="s">
        <v>47</v>
      </c>
      <c r="F24" s="2" t="s">
        <v>61</v>
      </c>
      <c r="G24" s="2" t="s">
        <v>61</v>
      </c>
      <c r="H24" s="3"/>
      <c r="I24" s="3" t="s">
        <v>31</v>
      </c>
      <c r="J24" s="2" t="s">
        <v>6</v>
      </c>
      <c r="K24" s="3"/>
      <c r="L24" s="5"/>
      <c r="M24" s="1" t="s">
        <v>199</v>
      </c>
      <c r="O24" s="5" t="s">
        <v>0</v>
      </c>
    </row>
    <row r="25" spans="1:15" ht="15" thickBot="1" x14ac:dyDescent="0.4">
      <c r="A25" s="2"/>
      <c r="B25" s="2" t="s">
        <v>49</v>
      </c>
      <c r="C25" s="2" t="s">
        <v>121</v>
      </c>
      <c r="D25" s="2" t="str">
        <f>VLOOKUP(E25,M:O,3,FALSE)</f>
        <v>Expense</v>
      </c>
      <c r="E25" s="2" t="s">
        <v>47</v>
      </c>
      <c r="F25" s="2" t="s">
        <v>61</v>
      </c>
      <c r="G25" s="2" t="s">
        <v>61</v>
      </c>
      <c r="H25" s="3"/>
      <c r="I25" s="3" t="s">
        <v>31</v>
      </c>
      <c r="J25" s="2" t="s">
        <v>6</v>
      </c>
      <c r="K25" s="3"/>
      <c r="M25" s="1" t="s">
        <v>165</v>
      </c>
      <c r="N25" s="1" t="s">
        <v>185</v>
      </c>
      <c r="O25" s="5" t="s">
        <v>4</v>
      </c>
    </row>
    <row r="26" spans="1:15" ht="15" thickBot="1" x14ac:dyDescent="0.4">
      <c r="A26" s="2"/>
      <c r="B26" s="2" t="s">
        <v>72</v>
      </c>
      <c r="C26" s="2" t="s">
        <v>122</v>
      </c>
      <c r="D26" s="2" t="str">
        <f>VLOOKUP(E26,M:O,3,FALSE)</f>
        <v>Expense</v>
      </c>
      <c r="E26" s="2" t="s">
        <v>47</v>
      </c>
      <c r="F26" s="2" t="s">
        <v>61</v>
      </c>
      <c r="G26" s="2" t="s">
        <v>61</v>
      </c>
      <c r="H26" s="3"/>
      <c r="I26" s="3" t="s">
        <v>31</v>
      </c>
      <c r="J26" s="2" t="s">
        <v>6</v>
      </c>
      <c r="K26" s="3"/>
      <c r="L26" s="5" t="s">
        <v>200</v>
      </c>
      <c r="M26" s="1" t="s">
        <v>50</v>
      </c>
      <c r="N26" s="1" t="s">
        <v>187</v>
      </c>
      <c r="O26" s="1" t="s">
        <v>0</v>
      </c>
    </row>
    <row r="27" spans="1:15" ht="15" thickBot="1" x14ac:dyDescent="0.4">
      <c r="A27" s="2"/>
      <c r="B27" s="2" t="s">
        <v>26</v>
      </c>
      <c r="C27" s="2" t="s">
        <v>107</v>
      </c>
      <c r="D27" s="2" t="str">
        <f>VLOOKUP(E27,M:O,3,FALSE)</f>
        <v>Asset</v>
      </c>
      <c r="E27" s="2" t="s">
        <v>156</v>
      </c>
      <c r="F27" s="2" t="s">
        <v>61</v>
      </c>
      <c r="G27" s="2" t="s">
        <v>61</v>
      </c>
      <c r="H27" s="3"/>
      <c r="I27" s="3" t="s">
        <v>31</v>
      </c>
      <c r="J27" s="2" t="s">
        <v>5</v>
      </c>
      <c r="K27" s="3"/>
      <c r="M27" s="1" t="s">
        <v>83</v>
      </c>
      <c r="N27" s="1" t="s">
        <v>192</v>
      </c>
      <c r="O27" s="1" t="s">
        <v>4</v>
      </c>
    </row>
    <row r="28" spans="1:15" ht="15" thickBot="1" x14ac:dyDescent="0.4">
      <c r="A28" s="2"/>
      <c r="B28" s="2" t="s">
        <v>78</v>
      </c>
      <c r="C28" s="2" t="s">
        <v>108</v>
      </c>
      <c r="D28" s="2" t="str">
        <f>VLOOKUP(E28,M:O,3,FALSE)</f>
        <v>Asset</v>
      </c>
      <c r="E28" s="2" t="s">
        <v>156</v>
      </c>
      <c r="F28" s="2" t="s">
        <v>61</v>
      </c>
      <c r="G28" s="2" t="s">
        <v>61</v>
      </c>
      <c r="H28" s="3"/>
      <c r="I28" s="3" t="s">
        <v>31</v>
      </c>
      <c r="J28" s="2" t="s">
        <v>5</v>
      </c>
      <c r="K28" s="3"/>
      <c r="M28" s="1" t="s">
        <v>13</v>
      </c>
      <c r="N28" s="1" t="s">
        <v>176</v>
      </c>
      <c r="O28" s="1" t="s">
        <v>2</v>
      </c>
    </row>
    <row r="29" spans="1:15" ht="15" thickBot="1" x14ac:dyDescent="0.4">
      <c r="A29" s="2"/>
      <c r="B29" s="2" t="s">
        <v>42</v>
      </c>
      <c r="C29" s="2" t="s">
        <v>109</v>
      </c>
      <c r="D29" s="2" t="str">
        <f>VLOOKUP(E29,M:O,3,FALSE)</f>
        <v>Asset</v>
      </c>
      <c r="E29" s="2" t="s">
        <v>156</v>
      </c>
      <c r="F29" s="2" t="s">
        <v>61</v>
      </c>
      <c r="G29" s="2" t="s">
        <v>61</v>
      </c>
      <c r="H29" s="3"/>
      <c r="I29" s="3" t="s">
        <v>31</v>
      </c>
      <c r="J29" s="2" t="s">
        <v>5</v>
      </c>
      <c r="K29" s="3"/>
      <c r="L29" s="1" t="s">
        <v>203</v>
      </c>
      <c r="M29" s="1" t="s">
        <v>58</v>
      </c>
      <c r="N29" s="1" t="s">
        <v>177</v>
      </c>
      <c r="O29" s="1" t="s">
        <v>3</v>
      </c>
    </row>
    <row r="30" spans="1:15" ht="15" thickBot="1" x14ac:dyDescent="0.4">
      <c r="A30" s="2"/>
      <c r="B30" s="2" t="s">
        <v>87</v>
      </c>
      <c r="C30" s="2" t="s">
        <v>123</v>
      </c>
      <c r="D30" s="2" t="str">
        <f>VLOOKUP(E30,M:O,3,FALSE)</f>
        <v>Expense</v>
      </c>
      <c r="E30" s="2" t="s">
        <v>223</v>
      </c>
      <c r="F30" s="2" t="s">
        <v>61</v>
      </c>
      <c r="G30" s="2" t="s">
        <v>61</v>
      </c>
      <c r="H30" s="3"/>
      <c r="I30" s="3" t="s">
        <v>31</v>
      </c>
      <c r="J30" s="2" t="s">
        <v>6</v>
      </c>
      <c r="K30" s="3"/>
      <c r="M30" s="1" t="s">
        <v>36</v>
      </c>
      <c r="N30" s="1" t="s">
        <v>180</v>
      </c>
      <c r="O30" s="1" t="s">
        <v>4</v>
      </c>
    </row>
    <row r="31" spans="1:15" ht="15" thickBot="1" x14ac:dyDescent="0.4">
      <c r="A31" s="2"/>
      <c r="B31" s="2" t="s">
        <v>88</v>
      </c>
      <c r="C31" s="2" t="s">
        <v>124</v>
      </c>
      <c r="D31" s="2" t="str">
        <f>VLOOKUP(E31,M:O,3,FALSE)</f>
        <v>Expense</v>
      </c>
      <c r="E31" s="2" t="s">
        <v>89</v>
      </c>
      <c r="F31" s="2" t="s">
        <v>61</v>
      </c>
      <c r="G31" s="2" t="s">
        <v>61</v>
      </c>
      <c r="H31" s="3"/>
      <c r="I31" s="3" t="s">
        <v>31</v>
      </c>
      <c r="J31" s="2" t="s">
        <v>6</v>
      </c>
      <c r="K31" s="3"/>
      <c r="M31" s="1" t="s">
        <v>34</v>
      </c>
      <c r="N31" s="1" t="s">
        <v>174</v>
      </c>
      <c r="O31" s="1" t="s">
        <v>4</v>
      </c>
    </row>
    <row r="32" spans="1:15" ht="15" thickBot="1" x14ac:dyDescent="0.4">
      <c r="A32" s="4"/>
      <c r="B32" s="4" t="s">
        <v>90</v>
      </c>
      <c r="C32" s="4" t="s">
        <v>154</v>
      </c>
      <c r="D32" s="2" t="str">
        <f>VLOOKUP(E32,M:O,3,FALSE)</f>
        <v>EXPENSE</v>
      </c>
      <c r="E32" s="4" t="s">
        <v>93</v>
      </c>
      <c r="F32" s="6" t="s">
        <v>61</v>
      </c>
      <c r="G32" s="6" t="s">
        <v>61</v>
      </c>
      <c r="H32" s="5"/>
      <c r="I32" s="3" t="s">
        <v>31</v>
      </c>
      <c r="J32" s="6" t="s">
        <v>60</v>
      </c>
      <c r="K32" s="5"/>
      <c r="M32" s="1" t="s">
        <v>7</v>
      </c>
      <c r="N32" s="1" t="s">
        <v>178</v>
      </c>
      <c r="O32" s="1" t="s">
        <v>4</v>
      </c>
    </row>
    <row r="33" spans="1:15" ht="15" thickBot="1" x14ac:dyDescent="0.4">
      <c r="A33" s="2"/>
      <c r="B33" s="2" t="s">
        <v>37</v>
      </c>
      <c r="C33" s="2" t="s">
        <v>141</v>
      </c>
      <c r="D33" s="2" t="str">
        <f>VLOOKUP(E33,M:O,3,FALSE)</f>
        <v>Expense</v>
      </c>
      <c r="E33" s="2" t="s">
        <v>155</v>
      </c>
      <c r="F33" s="2" t="s">
        <v>61</v>
      </c>
      <c r="G33" s="2" t="s">
        <v>61</v>
      </c>
      <c r="H33" s="3"/>
      <c r="I33" s="3" t="s">
        <v>31</v>
      </c>
      <c r="J33" s="2" t="s">
        <v>6</v>
      </c>
      <c r="K33" s="3"/>
      <c r="M33" s="1" t="s">
        <v>82</v>
      </c>
      <c r="N33" s="1" t="s">
        <v>179</v>
      </c>
      <c r="O33" s="1" t="s">
        <v>4</v>
      </c>
    </row>
    <row r="34" spans="1:15" ht="15" thickBot="1" x14ac:dyDescent="0.4">
      <c r="A34" s="2"/>
      <c r="B34" s="2" t="s">
        <v>76</v>
      </c>
      <c r="C34" s="2" t="s">
        <v>142</v>
      </c>
      <c r="D34" s="2" t="str">
        <f>VLOOKUP(E34,M:O,3,FALSE)</f>
        <v>Expense</v>
      </c>
      <c r="E34" s="2" t="s">
        <v>155</v>
      </c>
      <c r="F34" s="2" t="s">
        <v>61</v>
      </c>
      <c r="G34" s="2" t="s">
        <v>61</v>
      </c>
      <c r="H34" s="3"/>
      <c r="I34" s="3" t="s">
        <v>31</v>
      </c>
      <c r="J34" s="2" t="s">
        <v>6</v>
      </c>
      <c r="K34" s="3"/>
    </row>
    <row r="35" spans="1:15" ht="15" thickBot="1" x14ac:dyDescent="0.4">
      <c r="A35" s="2"/>
      <c r="B35" s="2" t="s">
        <v>84</v>
      </c>
      <c r="C35" s="2" t="s">
        <v>153</v>
      </c>
      <c r="D35" s="2" t="str">
        <f>VLOOKUP(E35,M:O,3,FALSE)</f>
        <v>Expense</v>
      </c>
      <c r="E35" s="2" t="s">
        <v>41</v>
      </c>
      <c r="F35" s="2" t="s">
        <v>61</v>
      </c>
      <c r="G35" s="2" t="s">
        <v>61</v>
      </c>
      <c r="H35" s="3"/>
      <c r="I35" s="3" t="s">
        <v>31</v>
      </c>
      <c r="J35" s="2" t="s">
        <v>6</v>
      </c>
      <c r="K35" s="3"/>
    </row>
    <row r="36" spans="1:15" ht="15" thickBot="1" x14ac:dyDescent="0.4">
      <c r="A36" s="2"/>
      <c r="B36" s="2" t="s">
        <v>39</v>
      </c>
      <c r="C36" s="2" t="s">
        <v>134</v>
      </c>
      <c r="D36" s="2" t="str">
        <f>VLOOKUP(E36,M:O,3,FALSE)</f>
        <v>Expense</v>
      </c>
      <c r="E36" s="2" t="s">
        <v>41</v>
      </c>
      <c r="F36" s="2" t="s">
        <v>61</v>
      </c>
      <c r="G36" s="2" t="s">
        <v>61</v>
      </c>
      <c r="H36" s="3"/>
      <c r="I36" s="3" t="s">
        <v>31</v>
      </c>
      <c r="J36" s="2" t="s">
        <v>6</v>
      </c>
      <c r="K36" s="3"/>
    </row>
    <row r="37" spans="1:15" ht="15" thickBot="1" x14ac:dyDescent="0.4">
      <c r="A37" s="2"/>
      <c r="B37" s="2" t="s">
        <v>40</v>
      </c>
      <c r="C37" s="2" t="s">
        <v>135</v>
      </c>
      <c r="D37" s="2" t="str">
        <f>VLOOKUP(E37,M:O,3,FALSE)</f>
        <v>Expense</v>
      </c>
      <c r="E37" s="2" t="s">
        <v>41</v>
      </c>
      <c r="F37" s="2" t="s">
        <v>61</v>
      </c>
      <c r="G37" s="2" t="s">
        <v>61</v>
      </c>
      <c r="H37" s="3"/>
      <c r="I37" s="3" t="s">
        <v>31</v>
      </c>
      <c r="J37" s="2" t="s">
        <v>6</v>
      </c>
      <c r="K37" s="3"/>
    </row>
    <row r="38" spans="1:15" ht="15" thickBot="1" x14ac:dyDescent="0.4">
      <c r="A38" s="2"/>
      <c r="B38" s="2" t="s">
        <v>71</v>
      </c>
      <c r="C38" s="2" t="s">
        <v>118</v>
      </c>
      <c r="D38" s="2" t="str">
        <f>VLOOKUP(E38,M:O,3,FALSE)</f>
        <v>REVENUE</v>
      </c>
      <c r="E38" s="2" t="s">
        <v>15</v>
      </c>
      <c r="F38" s="2" t="s">
        <v>61</v>
      </c>
      <c r="G38" s="2" t="s">
        <v>61</v>
      </c>
      <c r="H38" s="3"/>
      <c r="I38" s="3" t="s">
        <v>31</v>
      </c>
      <c r="J38" s="2" t="s">
        <v>5</v>
      </c>
      <c r="K38" s="3"/>
    </row>
    <row r="39" spans="1:15" ht="15" thickBot="1" x14ac:dyDescent="0.4">
      <c r="A39" s="2"/>
      <c r="B39" s="2" t="s">
        <v>70</v>
      </c>
      <c r="C39" s="2" t="s">
        <v>111</v>
      </c>
      <c r="D39" s="2" t="str">
        <f>VLOOKUP(E39,M:O,3,FALSE)</f>
        <v>Equity</v>
      </c>
      <c r="E39" s="2" t="s">
        <v>52</v>
      </c>
      <c r="F39" s="2" t="s">
        <v>61</v>
      </c>
      <c r="G39" s="2" t="s">
        <v>61</v>
      </c>
      <c r="H39" s="3"/>
      <c r="I39" s="3" t="s">
        <v>31</v>
      </c>
      <c r="J39" s="2" t="s">
        <v>5</v>
      </c>
      <c r="K39" s="3"/>
    </row>
    <row r="40" spans="1:15" ht="15" thickBot="1" x14ac:dyDescent="0.4">
      <c r="A40" s="2"/>
      <c r="B40" s="2" t="s">
        <v>62</v>
      </c>
      <c r="C40" s="2" t="s">
        <v>101</v>
      </c>
      <c r="D40" s="2" t="str">
        <f>VLOOKUP(E40,M:O,3,FALSE)</f>
        <v>Equity</v>
      </c>
      <c r="E40" s="2" t="s">
        <v>51</v>
      </c>
      <c r="F40" s="2" t="s">
        <v>61</v>
      </c>
      <c r="G40" s="2" t="s">
        <v>61</v>
      </c>
      <c r="H40" s="3"/>
      <c r="I40" s="3" t="s">
        <v>31</v>
      </c>
      <c r="J40" s="2" t="s">
        <v>5</v>
      </c>
      <c r="K40" s="3"/>
    </row>
    <row r="41" spans="1:15" ht="15" thickBot="1" x14ac:dyDescent="0.4">
      <c r="A41" s="2" t="s">
        <v>215</v>
      </c>
      <c r="B41" s="2" t="s">
        <v>81</v>
      </c>
      <c r="C41" s="2" t="s">
        <v>112</v>
      </c>
      <c r="D41" s="2" t="str">
        <f>VLOOKUP(E41,M:O,3,FALSE)</f>
        <v>Equity</v>
      </c>
      <c r="E41" s="2" t="s">
        <v>51</v>
      </c>
      <c r="F41" s="2" t="s">
        <v>61</v>
      </c>
      <c r="G41" s="2" t="s">
        <v>61</v>
      </c>
      <c r="H41" s="3"/>
      <c r="I41" s="3" t="s">
        <v>31</v>
      </c>
      <c r="J41" s="2" t="s">
        <v>5</v>
      </c>
      <c r="K41" s="3"/>
    </row>
    <row r="42" spans="1:15" ht="15" thickBot="1" x14ac:dyDescent="0.4">
      <c r="A42" s="2"/>
      <c r="B42" s="2" t="s">
        <v>79</v>
      </c>
      <c r="C42" s="2" t="s">
        <v>113</v>
      </c>
      <c r="D42" s="2" t="str">
        <f>VLOOKUP(E42,M:O,3,FALSE)</f>
        <v>Equity</v>
      </c>
      <c r="E42" s="2" t="s">
        <v>51</v>
      </c>
      <c r="F42" s="2" t="s">
        <v>61</v>
      </c>
      <c r="G42" s="2" t="s">
        <v>61</v>
      </c>
      <c r="H42" s="3"/>
      <c r="I42" s="3" t="s">
        <v>31</v>
      </c>
      <c r="J42" s="2" t="s">
        <v>5</v>
      </c>
      <c r="K42" s="3"/>
    </row>
    <row r="43" spans="1:15" ht="15" thickBot="1" x14ac:dyDescent="0.4">
      <c r="A43" s="2"/>
      <c r="B43" s="2" t="s">
        <v>80</v>
      </c>
      <c r="C43" s="2" t="s">
        <v>114</v>
      </c>
      <c r="D43" s="2" t="str">
        <f>VLOOKUP(E43,M:O,3,FALSE)</f>
        <v>Equity</v>
      </c>
      <c r="E43" s="2" t="s">
        <v>51</v>
      </c>
      <c r="F43" s="2" t="s">
        <v>61</v>
      </c>
      <c r="G43" s="2" t="s">
        <v>61</v>
      </c>
      <c r="H43" s="3"/>
      <c r="I43" s="3" t="s">
        <v>31</v>
      </c>
      <c r="J43" s="2" t="s">
        <v>5</v>
      </c>
      <c r="K43" s="3"/>
    </row>
    <row r="44" spans="1:15" ht="15" thickBot="1" x14ac:dyDescent="0.4">
      <c r="A44" s="1" t="s">
        <v>211</v>
      </c>
      <c r="B44" s="2" t="s">
        <v>67</v>
      </c>
      <c r="C44" s="2" t="s">
        <v>159</v>
      </c>
      <c r="D44" s="2" t="str">
        <f>VLOOKUP(E44,M:O,3,FALSE)</f>
        <v>Liability</v>
      </c>
      <c r="E44" s="2" t="s">
        <v>157</v>
      </c>
      <c r="F44" s="2" t="s">
        <v>60</v>
      </c>
      <c r="G44" s="2" t="s">
        <v>61</v>
      </c>
      <c r="H44" s="3"/>
      <c r="I44" s="3" t="s">
        <v>31</v>
      </c>
      <c r="J44" s="2" t="s">
        <v>5</v>
      </c>
      <c r="K44" s="3"/>
    </row>
    <row r="45" spans="1:15" ht="15" thickBot="1" x14ac:dyDescent="0.4">
      <c r="A45" s="1" t="s">
        <v>212</v>
      </c>
      <c r="B45" s="2" t="s">
        <v>68</v>
      </c>
      <c r="C45" s="2" t="s">
        <v>160</v>
      </c>
      <c r="D45" s="2" t="str">
        <f>VLOOKUP(E45,M:O,3,FALSE)</f>
        <v>Liability</v>
      </c>
      <c r="E45" s="2" t="s">
        <v>157</v>
      </c>
      <c r="F45" s="2" t="s">
        <v>60</v>
      </c>
      <c r="G45" s="2" t="s">
        <v>61</v>
      </c>
      <c r="H45" s="3"/>
      <c r="I45" s="3" t="s">
        <v>31</v>
      </c>
      <c r="J45" s="2" t="s">
        <v>5</v>
      </c>
      <c r="K45" s="3"/>
    </row>
    <row r="46" spans="1:15" ht="15" thickBot="1" x14ac:dyDescent="0.4">
      <c r="A46" s="2"/>
      <c r="B46" s="2" t="s">
        <v>63</v>
      </c>
      <c r="C46" s="2" t="s">
        <v>105</v>
      </c>
      <c r="D46" s="2" t="str">
        <f>VLOOKUP(E46,M:O,3,FALSE)</f>
        <v>Asset</v>
      </c>
      <c r="E46" s="2" t="s">
        <v>199</v>
      </c>
      <c r="F46" s="2" t="s">
        <v>60</v>
      </c>
      <c r="G46" s="2" t="s">
        <v>61</v>
      </c>
      <c r="H46" s="3"/>
      <c r="I46" s="3" t="s">
        <v>31</v>
      </c>
      <c r="J46" s="2" t="s">
        <v>5</v>
      </c>
      <c r="K46" s="3"/>
    </row>
    <row r="47" spans="1:15" ht="15" thickBot="1" x14ac:dyDescent="0.4">
      <c r="A47" s="2"/>
      <c r="B47" s="2" t="s">
        <v>64</v>
      </c>
      <c r="C47" s="2" t="s">
        <v>106</v>
      </c>
      <c r="D47" s="2" t="str">
        <f>VLOOKUP(E47,M:O,3,FALSE)</f>
        <v>Asset</v>
      </c>
      <c r="E47" s="2" t="s">
        <v>199</v>
      </c>
      <c r="F47" s="2" t="s">
        <v>60</v>
      </c>
      <c r="G47" s="2" t="s">
        <v>61</v>
      </c>
      <c r="H47" s="3"/>
      <c r="I47" s="3" t="s">
        <v>31</v>
      </c>
      <c r="J47" s="2" t="s">
        <v>5</v>
      </c>
      <c r="K47" s="3"/>
    </row>
    <row r="48" spans="1:15" ht="15" thickBot="1" x14ac:dyDescent="0.4">
      <c r="A48" s="2"/>
      <c r="B48" s="2" t="s">
        <v>65</v>
      </c>
      <c r="C48" s="2" t="s">
        <v>149</v>
      </c>
      <c r="D48" s="2" t="str">
        <f>VLOOKUP(E48,M:O,3,FALSE)</f>
        <v>Asset</v>
      </c>
      <c r="E48" s="2" t="s">
        <v>199</v>
      </c>
      <c r="F48" s="2" t="s">
        <v>60</v>
      </c>
      <c r="G48" s="2" t="s">
        <v>61</v>
      </c>
      <c r="H48" s="3"/>
      <c r="I48" s="3" t="s">
        <v>31</v>
      </c>
      <c r="J48" s="2" t="s">
        <v>5</v>
      </c>
      <c r="K48" s="3"/>
    </row>
    <row r="49" spans="1:11" ht="15" thickBot="1" x14ac:dyDescent="0.4">
      <c r="A49" s="6"/>
      <c r="B49" s="4" t="s">
        <v>162</v>
      </c>
      <c r="C49" s="4" t="s">
        <v>168</v>
      </c>
      <c r="D49" s="2" t="str">
        <f>VLOOKUP(E49,M:O,3,FALSE)</f>
        <v>Expense</v>
      </c>
      <c r="E49" s="6" t="s">
        <v>165</v>
      </c>
      <c r="F49" s="6" t="s">
        <v>60</v>
      </c>
      <c r="G49" s="6" t="s">
        <v>60</v>
      </c>
      <c r="I49" s="3" t="s">
        <v>31</v>
      </c>
      <c r="J49" s="6" t="s">
        <v>60</v>
      </c>
      <c r="K49" s="5"/>
    </row>
    <row r="50" spans="1:11" ht="15" thickBot="1" x14ac:dyDescent="0.4">
      <c r="A50" s="4"/>
      <c r="B50" s="4" t="s">
        <v>163</v>
      </c>
      <c r="C50" s="4" t="s">
        <v>169</v>
      </c>
      <c r="D50" s="2" t="str">
        <f>VLOOKUP(E50,M:O,3,FALSE)</f>
        <v>Expense</v>
      </c>
      <c r="E50" s="4" t="s">
        <v>165</v>
      </c>
      <c r="F50" s="6" t="s">
        <v>61</v>
      </c>
      <c r="G50" s="6" t="s">
        <v>60</v>
      </c>
      <c r="I50" s="3" t="s">
        <v>31</v>
      </c>
      <c r="J50" s="6" t="s">
        <v>60</v>
      </c>
      <c r="K50" s="5"/>
    </row>
    <row r="51" spans="1:11" ht="15" thickBot="1" x14ac:dyDescent="0.4">
      <c r="A51" s="4" t="s">
        <v>206</v>
      </c>
      <c r="B51" s="2" t="s">
        <v>66</v>
      </c>
      <c r="C51" s="2" t="s">
        <v>150</v>
      </c>
      <c r="D51" s="2" t="str">
        <f>VLOOKUP(E51,M:O,3,FALSE)</f>
        <v>Asset</v>
      </c>
      <c r="E51" s="2" t="s">
        <v>50</v>
      </c>
      <c r="F51" s="2" t="s">
        <v>60</v>
      </c>
      <c r="G51" s="2" t="s">
        <v>61</v>
      </c>
      <c r="H51" s="3"/>
      <c r="I51" s="3" t="s">
        <v>31</v>
      </c>
      <c r="J51" s="2" t="s">
        <v>5</v>
      </c>
      <c r="K51" s="3"/>
    </row>
    <row r="52" spans="1:11" ht="15" thickBot="1" x14ac:dyDescent="0.4">
      <c r="A52" s="2"/>
      <c r="B52" s="2" t="s">
        <v>22</v>
      </c>
      <c r="C52" s="2" t="s">
        <v>125</v>
      </c>
      <c r="D52" s="2" t="str">
        <f>VLOOKUP(E52,M:O,3,FALSE)</f>
        <v>Expense</v>
      </c>
      <c r="E52" s="2" t="s">
        <v>83</v>
      </c>
      <c r="F52" s="2" t="s">
        <v>61</v>
      </c>
      <c r="G52" s="2" t="s">
        <v>61</v>
      </c>
      <c r="H52" s="3"/>
      <c r="I52" s="3" t="s">
        <v>31</v>
      </c>
      <c r="J52" s="2" t="s">
        <v>6</v>
      </c>
      <c r="K52" s="3"/>
    </row>
    <row r="53" spans="1:11" ht="15" thickBot="1" x14ac:dyDescent="0.4">
      <c r="A53" s="2"/>
      <c r="B53" s="2" t="s">
        <v>38</v>
      </c>
      <c r="C53" s="2" t="s">
        <v>126</v>
      </c>
      <c r="D53" s="2" t="str">
        <f>VLOOKUP(E53,M:O,3,FALSE)</f>
        <v>Expense</v>
      </c>
      <c r="E53" s="2" t="s">
        <v>83</v>
      </c>
      <c r="F53" s="2" t="s">
        <v>61</v>
      </c>
      <c r="G53" s="2" t="s">
        <v>61</v>
      </c>
      <c r="H53" s="3"/>
      <c r="I53" s="3" t="s">
        <v>31</v>
      </c>
      <c r="J53" s="2" t="s">
        <v>6</v>
      </c>
      <c r="K53" s="3"/>
    </row>
    <row r="54" spans="1:11" ht="15" thickBot="1" x14ac:dyDescent="0.4">
      <c r="A54" s="2"/>
      <c r="B54" s="2" t="s">
        <v>33</v>
      </c>
      <c r="C54" s="2" t="s">
        <v>127</v>
      </c>
      <c r="D54" s="2" t="str">
        <f>VLOOKUP(E54,M:O,3,FALSE)</f>
        <v>Expense</v>
      </c>
      <c r="E54" s="2" t="s">
        <v>83</v>
      </c>
      <c r="F54" s="2" t="s">
        <v>61</v>
      </c>
      <c r="G54" s="2" t="s">
        <v>61</v>
      </c>
      <c r="H54" s="3"/>
      <c r="I54" s="3" t="s">
        <v>31</v>
      </c>
      <c r="J54" s="2" t="s">
        <v>6</v>
      </c>
      <c r="K54" s="3"/>
    </row>
    <row r="55" spans="1:11" ht="15" thickBot="1" x14ac:dyDescent="0.4">
      <c r="A55" s="4"/>
      <c r="B55" s="4" t="s">
        <v>91</v>
      </c>
      <c r="C55" s="4" t="s">
        <v>143</v>
      </c>
      <c r="D55" s="2" t="str">
        <f>VLOOKUP(E55,M:O,3,FALSE)</f>
        <v>Expense</v>
      </c>
      <c r="E55" s="4" t="s">
        <v>83</v>
      </c>
      <c r="F55" s="6" t="s">
        <v>61</v>
      </c>
      <c r="G55" s="6" t="s">
        <v>61</v>
      </c>
      <c r="H55" s="5"/>
      <c r="I55" s="3" t="s">
        <v>31</v>
      </c>
      <c r="J55" s="6" t="s">
        <v>60</v>
      </c>
      <c r="K55" s="5"/>
    </row>
    <row r="56" spans="1:11" ht="15" thickBot="1" x14ac:dyDescent="0.4">
      <c r="A56" s="1" t="s">
        <v>210</v>
      </c>
      <c r="B56" s="2" t="s">
        <v>14</v>
      </c>
      <c r="C56" s="2" t="s">
        <v>115</v>
      </c>
      <c r="D56" s="2" t="str">
        <f>VLOOKUP(E56,M:O,3,FALSE)</f>
        <v>Revenue</v>
      </c>
      <c r="E56" s="2" t="s">
        <v>58</v>
      </c>
      <c r="F56" s="2" t="s">
        <v>60</v>
      </c>
      <c r="G56" s="2" t="s">
        <v>61</v>
      </c>
      <c r="H56" s="3"/>
      <c r="I56" s="3" t="s">
        <v>31</v>
      </c>
      <c r="J56" s="2" t="s">
        <v>5</v>
      </c>
      <c r="K56" s="3"/>
    </row>
    <row r="57" spans="1:11" ht="15" thickBot="1" x14ac:dyDescent="0.4">
      <c r="A57" s="2"/>
      <c r="B57" s="2" t="s">
        <v>20</v>
      </c>
      <c r="C57" s="2" t="s">
        <v>116</v>
      </c>
      <c r="D57" s="2" t="str">
        <f>VLOOKUP(E57,M:O,3,FALSE)</f>
        <v>Revenue</v>
      </c>
      <c r="E57" s="2" t="s">
        <v>58</v>
      </c>
      <c r="F57" s="2" t="s">
        <v>60</v>
      </c>
      <c r="G57" s="2" t="s">
        <v>60</v>
      </c>
      <c r="H57" s="3"/>
      <c r="I57" s="3" t="s">
        <v>31</v>
      </c>
      <c r="J57" s="2" t="s">
        <v>5</v>
      </c>
      <c r="K57" s="3"/>
    </row>
    <row r="58" spans="1:11" ht="15" thickBot="1" x14ac:dyDescent="0.4">
      <c r="A58" s="2"/>
      <c r="B58" s="2" t="s">
        <v>59</v>
      </c>
      <c r="C58" s="2" t="s">
        <v>117</v>
      </c>
      <c r="D58" s="2" t="str">
        <f>VLOOKUP(E58,M:O,3,FALSE)</f>
        <v>Revenue</v>
      </c>
      <c r="E58" s="2" t="s">
        <v>58</v>
      </c>
      <c r="F58" s="2" t="s">
        <v>60</v>
      </c>
      <c r="G58" s="2" t="s">
        <v>60</v>
      </c>
      <c r="H58" s="3"/>
      <c r="I58" s="3" t="s">
        <v>31</v>
      </c>
      <c r="J58" s="2" t="s">
        <v>5</v>
      </c>
      <c r="K58" s="3"/>
    </row>
    <row r="59" spans="1:11" ht="15" thickBot="1" x14ac:dyDescent="0.4">
      <c r="A59" s="2"/>
      <c r="B59" s="2" t="s">
        <v>74</v>
      </c>
      <c r="C59" s="2" t="s">
        <v>133</v>
      </c>
      <c r="D59" s="2" t="str">
        <f>VLOOKUP(E59,M:O,3,FALSE)</f>
        <v>Expense</v>
      </c>
      <c r="E59" s="2" t="s">
        <v>36</v>
      </c>
      <c r="F59" s="2" t="s">
        <v>61</v>
      </c>
      <c r="G59" s="2" t="s">
        <v>61</v>
      </c>
      <c r="H59" s="3"/>
      <c r="I59" s="3" t="s">
        <v>31</v>
      </c>
      <c r="J59" s="2" t="s">
        <v>6</v>
      </c>
      <c r="K59" s="3"/>
    </row>
    <row r="60" spans="1:11" ht="15" thickBot="1" x14ac:dyDescent="0.4">
      <c r="A60" s="2"/>
      <c r="B60" s="2" t="s">
        <v>43</v>
      </c>
      <c r="C60" s="2" t="s">
        <v>152</v>
      </c>
      <c r="D60" s="2" t="str">
        <f>VLOOKUP(E60,M:O,3,FALSE)</f>
        <v>Expense</v>
      </c>
      <c r="E60" s="2" t="s">
        <v>36</v>
      </c>
      <c r="F60" s="2" t="s">
        <v>61</v>
      </c>
      <c r="G60" s="2" t="s">
        <v>61</v>
      </c>
      <c r="H60" s="3"/>
      <c r="I60" s="3" t="s">
        <v>31</v>
      </c>
      <c r="J60" s="2" t="s">
        <v>6</v>
      </c>
      <c r="K60" s="3"/>
    </row>
    <row r="61" spans="1:11" ht="15" thickBot="1" x14ac:dyDescent="0.4">
      <c r="A61" s="3"/>
      <c r="B61" s="3" t="s">
        <v>75</v>
      </c>
      <c r="C61" s="3" t="s">
        <v>138</v>
      </c>
      <c r="D61" s="2" t="str">
        <f>VLOOKUP(E61,M:O,3,FALSE)</f>
        <v>Expense</v>
      </c>
      <c r="E61" s="3" t="s">
        <v>34</v>
      </c>
      <c r="F61" s="7" t="s">
        <v>61</v>
      </c>
      <c r="G61" s="7" t="s">
        <v>61</v>
      </c>
      <c r="H61" s="3"/>
      <c r="I61" s="3" t="s">
        <v>31</v>
      </c>
      <c r="J61" s="7" t="s">
        <v>5</v>
      </c>
      <c r="K61" s="3"/>
    </row>
    <row r="62" spans="1:11" ht="15" thickBot="1" x14ac:dyDescent="0.4">
      <c r="A62" s="3"/>
      <c r="B62" s="3" t="s">
        <v>23</v>
      </c>
      <c r="C62" s="3" t="s">
        <v>128</v>
      </c>
      <c r="D62" s="2" t="str">
        <f>VLOOKUP(E62,M:O,3,FALSE)</f>
        <v>Expense</v>
      </c>
      <c r="E62" s="3" t="s">
        <v>7</v>
      </c>
      <c r="F62" s="7" t="s">
        <v>61</v>
      </c>
      <c r="G62" s="8" t="s">
        <v>61</v>
      </c>
      <c r="H62" s="3"/>
      <c r="I62" s="3" t="s">
        <v>31</v>
      </c>
      <c r="J62" s="7" t="s">
        <v>6</v>
      </c>
      <c r="K62" s="3"/>
    </row>
    <row r="63" spans="1:11" ht="15" thickBot="1" x14ac:dyDescent="0.4">
      <c r="A63" s="3"/>
      <c r="B63" s="3" t="s">
        <v>24</v>
      </c>
      <c r="C63" s="3" t="s">
        <v>129</v>
      </c>
      <c r="D63" s="2" t="str">
        <f>VLOOKUP(E63,M:O,3,FALSE)</f>
        <v>Expense</v>
      </c>
      <c r="E63" s="3" t="s">
        <v>7</v>
      </c>
      <c r="F63" s="7" t="s">
        <v>61</v>
      </c>
      <c r="G63" s="8" t="s">
        <v>61</v>
      </c>
      <c r="H63" s="3"/>
      <c r="I63" s="3" t="s">
        <v>31</v>
      </c>
      <c r="J63" s="7" t="s">
        <v>6</v>
      </c>
      <c r="K63" s="3"/>
    </row>
    <row r="64" spans="1:11" ht="15" thickBot="1" x14ac:dyDescent="0.4">
      <c r="A64" s="3"/>
      <c r="B64" s="3" t="s">
        <v>32</v>
      </c>
      <c r="C64" s="3" t="s">
        <v>130</v>
      </c>
      <c r="D64" s="2" t="str">
        <f>VLOOKUP(E64,M:O,3,FALSE)</f>
        <v>Expense</v>
      </c>
      <c r="E64" s="3" t="s">
        <v>7</v>
      </c>
      <c r="F64" s="7" t="s">
        <v>61</v>
      </c>
      <c r="G64" s="8" t="s">
        <v>61</v>
      </c>
      <c r="H64" s="3"/>
      <c r="I64" s="3" t="s">
        <v>31</v>
      </c>
      <c r="J64" s="7" t="s">
        <v>6</v>
      </c>
      <c r="K64" s="3"/>
    </row>
    <row r="65" spans="1:11" ht="29.5" thickBot="1" x14ac:dyDescent="0.4">
      <c r="A65" s="3"/>
      <c r="B65" s="3" t="s">
        <v>25</v>
      </c>
      <c r="C65" s="3" t="s">
        <v>131</v>
      </c>
      <c r="D65" s="2" t="str">
        <f>VLOOKUP(E65,M:O,3,FALSE)</f>
        <v>Expense</v>
      </c>
      <c r="E65" s="3" t="s">
        <v>82</v>
      </c>
      <c r="F65" s="7" t="s">
        <v>61</v>
      </c>
      <c r="G65" s="8" t="s">
        <v>61</v>
      </c>
      <c r="H65" s="3"/>
      <c r="I65" s="3" t="s">
        <v>31</v>
      </c>
      <c r="J65" s="7" t="s">
        <v>6</v>
      </c>
      <c r="K65" s="3"/>
    </row>
  </sheetData>
  <sortState xmlns:xlrd2="http://schemas.microsoft.com/office/spreadsheetml/2017/richdata2" ref="L2:N65">
    <sortCondition ref="M1:M6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hoorain aijaz</dc:creator>
  <cp:lastModifiedBy>hoorain aijaz</cp:lastModifiedBy>
  <dcterms:created xsi:type="dcterms:W3CDTF">2026-02-23T20:38:33Z</dcterms:created>
  <dcterms:modified xsi:type="dcterms:W3CDTF">2026-04-11T11:02:46Z</dcterms:modified>
</cp:coreProperties>
</file>